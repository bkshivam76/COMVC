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onnectone Development\ConnectoneWebMVC\ConnectOneMVC\App_Data\"/>
    </mc:Choice>
  </mc:AlternateContent>
  <bookViews>
    <workbookView xWindow="0" yWindow="0" windowWidth="20490" windowHeight="9045" activeTab="4"/>
  </bookViews>
  <sheets>
    <sheet name="Tedious" sheetId="2" r:id="rId1"/>
    <sheet name="TermsNConditions" sheetId="4" r:id="rId2"/>
    <sheet name="DataBase" sheetId="1" r:id="rId3"/>
    <sheet name="PersonStatus" sheetId="5" r:id="rId4"/>
    <sheet name="IndRateChart" sheetId="3" r:id="rId5"/>
    <sheet name="OthRateChart" sheetId="7" r:id="rId6"/>
    <sheet name="LastDate" sheetId="8" r:id="rId7"/>
  </sheets>
  <definedNames>
    <definedName name="List">Tedious!$X$6:$X$31</definedName>
    <definedName name="PAN">Tedious!$A$1</definedName>
    <definedName name="PANREF">DataBase!$B$5:$F$31</definedName>
    <definedName name="TDSRate" localSheetId="5">OthRateChart!$A$3:$C$13</definedName>
    <definedName name="TDSRate">IndRateChart!$A$3:$C$13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F4" i="3" s="1"/>
  <c r="D5" i="3"/>
  <c r="F5" i="3" s="1"/>
  <c r="D6" i="3"/>
  <c r="F6" i="3" s="1"/>
  <c r="D7" i="3"/>
  <c r="D8" i="3"/>
  <c r="D9" i="3"/>
  <c r="D10" i="3"/>
  <c r="D11" i="3"/>
  <c r="D12" i="3"/>
  <c r="D13" i="3"/>
  <c r="F13" i="3" s="1"/>
  <c r="F8" i="3"/>
  <c r="F9" i="3"/>
  <c r="F10" i="3"/>
  <c r="D13" i="7"/>
  <c r="F13" i="7" s="1"/>
  <c r="D12" i="7"/>
  <c r="F12" i="7" s="1"/>
  <c r="D11" i="7"/>
  <c r="F11" i="7" s="1"/>
  <c r="D10" i="7"/>
  <c r="F10" i="7" s="1"/>
  <c r="D9" i="7"/>
  <c r="F9" i="7" s="1"/>
  <c r="F8" i="7"/>
  <c r="D8" i="7"/>
  <c r="D7" i="7"/>
  <c r="F7" i="7" s="1"/>
  <c r="D6" i="7"/>
  <c r="F6" i="7" s="1"/>
  <c r="D5" i="7"/>
  <c r="F5" i="7" s="1"/>
  <c r="F4" i="7"/>
  <c r="D4" i="7"/>
  <c r="F7" i="3"/>
  <c r="F11" i="3"/>
  <c r="F12" i="3"/>
  <c r="G9" i="2"/>
  <c r="C11" i="2"/>
  <c r="G11" i="2" s="1"/>
  <c r="C10" i="2"/>
  <c r="C9" i="2"/>
  <c r="C8" i="2"/>
  <c r="G10" i="2" l="1"/>
</calcChain>
</file>

<file path=xl/sharedStrings.xml><?xml version="1.0" encoding="utf-8"?>
<sst xmlns="http://schemas.openxmlformats.org/spreadsheetml/2006/main" count="241" uniqueCount="127">
  <si>
    <t>ACNPG1796N</t>
  </si>
  <si>
    <t>ç</t>
  </si>
  <si>
    <t>Please enter 10 Digit PAN</t>
  </si>
  <si>
    <t>This checking is not required for Non Resident Indian (NRI). Special TDS Rates are applicable for NRI's</t>
  </si>
  <si>
    <t>Data As per Income Tax Department</t>
  </si>
  <si>
    <t>Nature</t>
  </si>
  <si>
    <t>Normal</t>
  </si>
  <si>
    <t>Invalid PAN</t>
  </si>
  <si>
    <t>Contractor</t>
  </si>
  <si>
    <t>Name</t>
  </si>
  <si>
    <t>Transporter upto 10 vehicles</t>
  </si>
  <si>
    <t>PAN Allotment Date</t>
  </si>
  <si>
    <t>Transporter more than 10 vehicles</t>
  </si>
  <si>
    <t>PAN - Aadhar Link Status</t>
  </si>
  <si>
    <t>Rent</t>
  </si>
  <si>
    <t>Specified Person u/s 206AB &amp; 206CCA</t>
  </si>
  <si>
    <t>Rent Machinery</t>
  </si>
  <si>
    <t>Property Purchase</t>
  </si>
  <si>
    <t>Professional Fees</t>
  </si>
  <si>
    <t>Technical Fees</t>
  </si>
  <si>
    <t>Interest</t>
  </si>
  <si>
    <t>Commission</t>
  </si>
  <si>
    <t>#</t>
  </si>
  <si>
    <t>PAN</t>
  </si>
  <si>
    <t>AAAAP1234A</t>
  </si>
  <si>
    <t>SXXXA VASXXXX</t>
  </si>
  <si>
    <t>Not Linked</t>
  </si>
  <si>
    <t>No</t>
  </si>
  <si>
    <t>BBBBX1234B</t>
  </si>
  <si>
    <t>-</t>
  </si>
  <si>
    <t>AEPPT1569L</t>
  </si>
  <si>
    <t>ABCXXXXX DEFXXXXX</t>
  </si>
  <si>
    <t>Not Applicable</t>
  </si>
  <si>
    <t>AACCA5111D</t>
  </si>
  <si>
    <t>DEFXXXXX GHIXXXXX</t>
  </si>
  <si>
    <t>AANPL0755E</t>
  </si>
  <si>
    <t>GHIXXXXX JKLXXXXX</t>
  </si>
  <si>
    <t>EIHPS3995F</t>
  </si>
  <si>
    <t>JKLXXXXX IJKXXXXX</t>
  </si>
  <si>
    <t>IJKXXXXX MDFXXXXX</t>
  </si>
  <si>
    <t>Yes</t>
  </si>
  <si>
    <t>AHEPC9472H</t>
  </si>
  <si>
    <t>MDFXXXXX SFGXXXXX</t>
  </si>
  <si>
    <t>BUQPS0902Q</t>
  </si>
  <si>
    <t>SFGXXXXX XXXXX</t>
  </si>
  <si>
    <t>AMGPT7356J</t>
  </si>
  <si>
    <t>ANCPK7931M</t>
  </si>
  <si>
    <t>GOJXXXXX LOKXXXXX</t>
  </si>
  <si>
    <t>Linked</t>
  </si>
  <si>
    <t>ABHPM3040N</t>
  </si>
  <si>
    <t>LOKXXXXX DKEXXXXX</t>
  </si>
  <si>
    <t>COLPD9125C</t>
  </si>
  <si>
    <t>DKEXXXXX FGJXXXXX</t>
  </si>
  <si>
    <t>ABFPN2676E</t>
  </si>
  <si>
    <t>FGJXXXXX JIKXXXXX</t>
  </si>
  <si>
    <t>ABEPR8164D</t>
  </si>
  <si>
    <t>JIKXXXXX CVGXXXXX</t>
  </si>
  <si>
    <t>AIFPD3777Q</t>
  </si>
  <si>
    <t>CVGXXXXX ERGXXXXX</t>
  </si>
  <si>
    <t>AJDPG4507G</t>
  </si>
  <si>
    <t>ERGXXXXX POTXXXXX</t>
  </si>
  <si>
    <t>BGDPM9232Q</t>
  </si>
  <si>
    <t>POTXXXXX KOTXXXXX</t>
  </si>
  <si>
    <t>BJUPB0654G</t>
  </si>
  <si>
    <t>KOTXXXXX IOTXXXXX</t>
  </si>
  <si>
    <t>BJKPS7010N</t>
  </si>
  <si>
    <t>ALCPS5677N</t>
  </si>
  <si>
    <t>AOTXXXXX MOTXXXXX</t>
  </si>
  <si>
    <t>Exempt</t>
  </si>
  <si>
    <t>AACFU6302R</t>
  </si>
  <si>
    <t>MOTXXXXX TDKXXXXX</t>
  </si>
  <si>
    <t>DDZPB7947A</t>
  </si>
  <si>
    <t>TDKXXXXX FHLXXXXX</t>
  </si>
  <si>
    <t>ABEPG2236M</t>
  </si>
  <si>
    <t>FHLXXXXX EROXXXXX</t>
  </si>
  <si>
    <t>BUWPS9262H</t>
  </si>
  <si>
    <t>BUKPA9236K</t>
  </si>
  <si>
    <t>SPIXXXXX XXXXX</t>
  </si>
  <si>
    <t>Section</t>
  </si>
  <si>
    <t>194C</t>
  </si>
  <si>
    <t>194I</t>
  </si>
  <si>
    <t>194IA</t>
  </si>
  <si>
    <t>194J</t>
  </si>
  <si>
    <t>194A</t>
  </si>
  <si>
    <t>194H</t>
  </si>
  <si>
    <t>Specified Person</t>
  </si>
  <si>
    <t xml:space="preserve"> (u/s 206AB &amp; 206CCA)</t>
  </si>
  <si>
    <t>Sl</t>
  </si>
  <si>
    <t>Particulars</t>
  </si>
  <si>
    <t>The above TDS rates are not applicable to NRI (Non Resident Indians). For NRI TDS Rates, contact Headquarters</t>
  </si>
  <si>
    <t>The above TDS rates are applicable for FY 2021-2022 only.</t>
  </si>
  <si>
    <t>If PAN is not linked with Aaddhar, it will be treated as Invalid PAN</t>
  </si>
  <si>
    <t>The last date for Linking PAN with Aadhaar is 30th September 2021</t>
  </si>
  <si>
    <t>Section 206AB (i.e. Specified Person Condition) is applicable from 01st July 2021</t>
  </si>
  <si>
    <t>4thLetter</t>
  </si>
  <si>
    <t>Status</t>
  </si>
  <si>
    <t>A</t>
  </si>
  <si>
    <t>AOP - Association of Persons</t>
  </si>
  <si>
    <t>B</t>
  </si>
  <si>
    <t>BOI - Body of Individuals</t>
  </si>
  <si>
    <t>C</t>
  </si>
  <si>
    <t>Company</t>
  </si>
  <si>
    <t>F</t>
  </si>
  <si>
    <t>Firm / Limited Liability Partnership</t>
  </si>
  <si>
    <t>G</t>
  </si>
  <si>
    <t>Government Entity</t>
  </si>
  <si>
    <t>H</t>
  </si>
  <si>
    <t>HUF - Hindu Undivided Family</t>
  </si>
  <si>
    <t>J</t>
  </si>
  <si>
    <t>Artificial Juridical Person</t>
  </si>
  <si>
    <t>L</t>
  </si>
  <si>
    <t>Local Authority</t>
  </si>
  <si>
    <t>P</t>
  </si>
  <si>
    <t>Individual / Proprietorship</t>
  </si>
  <si>
    <t>T</t>
  </si>
  <si>
    <t>Trust</t>
  </si>
  <si>
    <t>Status (Based on 4th Letter)</t>
  </si>
  <si>
    <t>Information Based on Data entered by you</t>
  </si>
  <si>
    <t>Enter Date of TDS Deduction</t>
  </si>
  <si>
    <t>Specified Yes</t>
  </si>
  <si>
    <t>Aadhar Notlink</t>
  </si>
  <si>
    <r>
      <t>Specified Person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Before 1st July 2021 - No
From 1st July 2021 - As per department Data</t>
    </r>
  </si>
  <si>
    <r>
      <t>PAN - Aadhar Link Status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Before 1st Oct 2021 - Not Applicable
From 1st Oct 2021 - As per department Data</t>
    </r>
  </si>
  <si>
    <t>Both Specified and Aadhar NotLink</t>
  </si>
  <si>
    <t>Description</t>
  </si>
  <si>
    <t>Pan Aadhar Link</t>
  </si>
  <si>
    <t>EffectiveFrom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</si>
</sst>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Wingdings"/>
      <charset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9" tint="-0.249977111117893"/>
      <name val="Rockwell Extra Bold"/>
      <family val="1"/>
    </font>
    <font>
      <b/>
      <sz val="12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3" xfId="0" applyFont="1" applyBorder="1"/>
    <xf numFmtId="0" fontId="0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14" fontId="0" fillId="4" borderId="5" xfId="0" applyNumberFormat="1" applyFont="1" applyFill="1" applyBorder="1"/>
    <xf numFmtId="14" fontId="0" fillId="0" borderId="5" xfId="0" applyNumberFormat="1" applyFont="1" applyBorder="1"/>
    <xf numFmtId="14" fontId="0" fillId="0" borderId="3" xfId="0" applyNumberFormat="1" applyFont="1" applyBorder="1"/>
    <xf numFmtId="14" fontId="4" fillId="0" borderId="0" xfId="0" applyNumberFormat="1" applyFont="1"/>
    <xf numFmtId="0" fontId="1" fillId="3" borderId="0" xfId="0" applyFont="1" applyFill="1" applyBorder="1"/>
    <xf numFmtId="0" fontId="1" fillId="3" borderId="0" xfId="0" applyFont="1" applyFill="1"/>
    <xf numFmtId="0" fontId="0" fillId="0" borderId="0" xfId="0" applyFont="1" applyBorder="1"/>
    <xf numFmtId="0" fontId="4" fillId="0" borderId="0" xfId="0" applyNumberFormat="1" applyFont="1"/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5" fontId="0" fillId="0" borderId="0" xfId="0" applyNumberFormat="1"/>
  </cellXfs>
  <cellStyles count="1">
    <cellStyle name="Normal" xfId="0" builtinId="0"/>
  </cellStyles>
  <dxfs count="37"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erms" displayName="Terms" ref="A2:B7" totalsRowShown="0">
  <autoFilter ref="A2:B7"/>
  <tableColumns count="2">
    <tableColumn id="1" name="Sl"/>
    <tableColumn id="2" name="Particula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PanData" displayName="PanData" ref="A5:F31" totalsRowShown="0" headerRowDxfId="26" tableBorderDxfId="25">
  <autoFilter ref="A5:F31"/>
  <tableColumns count="6">
    <tableColumn id="1" name="#" dataDxfId="24"/>
    <tableColumn id="2" name="PAN" dataDxfId="23"/>
    <tableColumn id="3" name="Name" dataDxfId="22"/>
    <tableColumn id="4" name="PAN Allotment Date" dataDxfId="21"/>
    <tableColumn id="5" name="PAN - Aadhar Link Status" dataDxfId="20"/>
    <tableColumn id="6" name="Specified Person u/s 206AB &amp; 206CCA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tatus" displayName="Status" ref="A1:B11" totalsRowShown="0">
  <autoFilter ref="A1:B11"/>
  <tableColumns count="2">
    <tableColumn id="1" name="4thLetter"/>
    <tableColumn id="2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dRates" displayName="IndRates" ref="A3:F13" totalsRowShown="0" headerRowDxfId="18" dataDxfId="17" tableBorderDxfId="16">
  <autoFilter ref="A3:F13"/>
  <tableColumns count="6">
    <tableColumn id="1" name="Nature" dataDxfId="15"/>
    <tableColumn id="2" name="Section" dataDxfId="14"/>
    <tableColumn id="3" name="Normal" dataDxfId="13"/>
    <tableColumn id="6" name="Specified Yes" dataDxfId="12">
      <calculatedColumnFormula>MAX(IndRates[[#This Row],[Normal]]*2,5)</calculatedColumnFormula>
    </tableColumn>
    <tableColumn id="7" name="Aadhar Notlink" dataDxfId="11"/>
    <tableColumn id="8" name="Both Specified and Aadhar NotLink" dataDxfId="10">
      <calculatedColumnFormula>MAX(IndRates[[#This Row],[Normal]:[Aadhar Notlink]])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thRates" displayName="OthRates" ref="A3:F13" totalsRowShown="0" headerRowDxfId="9" dataDxfId="8" tableBorderDxfId="7">
  <autoFilter ref="A3:F13"/>
  <tableColumns count="6">
    <tableColumn id="1" name="Nature" dataDxfId="6"/>
    <tableColumn id="2" name="Section" dataDxfId="5"/>
    <tableColumn id="3" name="Normal" dataDxfId="4"/>
    <tableColumn id="6" name="Specified Yes" dataDxfId="3">
      <calculatedColumnFormula>MAX(OthRates[[#This Row],[Normal]]*2,5)</calculatedColumnFormula>
    </tableColumn>
    <tableColumn id="7" name="Aadhar Notlink" dataDxfId="2"/>
    <tableColumn id="8" name="Both Specified and Aadhar NotLink" dataDxfId="1">
      <calculatedColumnFormula>MAX(OthRates[[#This Row],[Normal]:[Aadhar Notlink]])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es" displayName="Dates" ref="A2:B4" totalsRowShown="0">
  <autoFilter ref="A2:B4"/>
  <tableColumns count="2">
    <tableColumn id="1" name="Description"/>
    <tableColumn id="2" name="EffectiveFr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>
      <selection activeCell="A3" sqref="A3"/>
    </sheetView>
  </sheetViews>
  <sheetFormatPr defaultRowHeight="15" x14ac:dyDescent="0.25"/>
  <cols>
    <col min="1" max="1" width="42.7109375" customWidth="1"/>
    <col min="2" max="2" width="6.140625" bestFit="1" customWidth="1"/>
    <col min="3" max="3" width="43.28515625" bestFit="1" customWidth="1"/>
    <col min="4" max="4" width="3.5703125" customWidth="1"/>
    <col min="5" max="5" width="42.7109375" customWidth="1"/>
    <col min="6" max="6" width="5.85546875" customWidth="1"/>
    <col min="7" max="7" width="42.7109375" customWidth="1"/>
    <col min="24" max="24" width="0" hidden="1" customWidth="1"/>
  </cols>
  <sheetData>
    <row r="1" spans="1:24" ht="23.25" x14ac:dyDescent="0.35">
      <c r="A1" s="5" t="s">
        <v>73</v>
      </c>
      <c r="B1" s="1" t="s">
        <v>1</v>
      </c>
      <c r="C1" s="2" t="s">
        <v>2</v>
      </c>
    </row>
    <row r="2" spans="1:24" ht="23.25" x14ac:dyDescent="0.35">
      <c r="A2" s="17">
        <v>44409</v>
      </c>
      <c r="B2" s="1" t="s">
        <v>1</v>
      </c>
      <c r="C2" s="2" t="s">
        <v>118</v>
      </c>
    </row>
    <row r="3" spans="1:24" ht="23.25" x14ac:dyDescent="0.35">
      <c r="A3" s="21"/>
      <c r="B3" s="1"/>
      <c r="C3" s="2"/>
    </row>
    <row r="4" spans="1:24" ht="23.25" x14ac:dyDescent="0.35">
      <c r="A4" s="2"/>
      <c r="B4" s="1"/>
      <c r="C4" s="2"/>
    </row>
    <row r="5" spans="1:24" ht="18.75" x14ac:dyDescent="0.3">
      <c r="A5" s="4" t="s">
        <v>3</v>
      </c>
    </row>
    <row r="6" spans="1:24" x14ac:dyDescent="0.25">
      <c r="X6" s="10" t="s">
        <v>24</v>
      </c>
    </row>
    <row r="7" spans="1:24" ht="26.25" x14ac:dyDescent="0.25">
      <c r="A7" s="22" t="s">
        <v>4</v>
      </c>
      <c r="B7" s="23"/>
      <c r="C7" s="23"/>
      <c r="D7" s="24"/>
      <c r="E7" s="22" t="s">
        <v>117</v>
      </c>
      <c r="F7" s="22"/>
      <c r="G7" s="22"/>
      <c r="X7" s="12" t="s">
        <v>28</v>
      </c>
    </row>
    <row r="8" spans="1:24" ht="26.25" x14ac:dyDescent="0.25">
      <c r="A8" s="25" t="s">
        <v>9</v>
      </c>
      <c r="B8" s="26"/>
      <c r="C8" s="26" t="str">
        <f>IF(ISNA(VLOOKUP(PAN,PANREF,2,0)) = FALSE,VLOOKUP(PAN,PANREF,2,0),"PAN NOT IN DATABASE. CONTACT HQ")</f>
        <v>FHLXXXXX EROXXXXX</v>
      </c>
      <c r="D8" s="24"/>
      <c r="E8" s="24"/>
      <c r="F8" s="24"/>
      <c r="G8" s="24"/>
      <c r="X8" s="10" t="s">
        <v>30</v>
      </c>
    </row>
    <row r="9" spans="1:24" ht="26.25" x14ac:dyDescent="0.25">
      <c r="A9" s="25" t="s">
        <v>11</v>
      </c>
      <c r="B9" s="26"/>
      <c r="C9" s="27">
        <f>IF(ISNA(VLOOKUP(PAN,PANREF,3,0)) = FALSE,VLOOKUP(PAN,PANREF,3,0),"PAN NOT IN DATABASE. CONTACT HQ")</f>
        <v>17417</v>
      </c>
      <c r="D9" s="24"/>
      <c r="E9" s="25" t="s">
        <v>116</v>
      </c>
      <c r="F9" s="26"/>
      <c r="G9" s="26" t="str">
        <f>VLOOKUP(MID(PAN,4,1),Status[],2,0)</f>
        <v>Individual / Proprietorship</v>
      </c>
      <c r="X9" s="12" t="s">
        <v>33</v>
      </c>
    </row>
    <row r="10" spans="1:24" ht="56.25" x14ac:dyDescent="0.25">
      <c r="A10" s="25" t="s">
        <v>13</v>
      </c>
      <c r="B10" s="26"/>
      <c r="C10" s="26" t="str">
        <f>IF(ISNA(VLOOKUP(PAN,PANREF,4,0)) = FALSE,VLOOKUP(PAN,PANREF,4,0),"PAN NOT IN DATABASE. CONTACT HQ")</f>
        <v>Not Linked</v>
      </c>
      <c r="D10" s="24"/>
      <c r="E10" s="28" t="s">
        <v>122</v>
      </c>
      <c r="F10" s="26"/>
      <c r="G10" s="26" t="str">
        <f>IF(A2&lt;44470,"Not Applicable",C10)</f>
        <v>Not Applicable</v>
      </c>
      <c r="X10" s="10" t="s">
        <v>35</v>
      </c>
    </row>
    <row r="11" spans="1:24" ht="56.25" x14ac:dyDescent="0.25">
      <c r="A11" s="25" t="s">
        <v>85</v>
      </c>
      <c r="B11" s="26"/>
      <c r="C11" s="26" t="str">
        <f>IF(ISNA(VLOOKUP(PAN,PANREF,5,0)) = FALSE,VLOOKUP(PAN,PANREF,5,0),"PAN NOT IN DATABASE. CONTACT HQ")</f>
        <v>Yes</v>
      </c>
      <c r="D11" s="24"/>
      <c r="E11" s="28" t="s">
        <v>121</v>
      </c>
      <c r="F11" s="26"/>
      <c r="G11" s="26" t="str">
        <f>IF(A2&lt;44378,"No",C11)</f>
        <v>Yes</v>
      </c>
      <c r="X11" s="12" t="s">
        <v>37</v>
      </c>
    </row>
    <row r="12" spans="1:24" ht="26.25" x14ac:dyDescent="0.25">
      <c r="A12" s="25" t="s">
        <v>86</v>
      </c>
      <c r="B12" s="26"/>
      <c r="C12" s="26"/>
      <c r="D12" s="24"/>
      <c r="E12" s="24"/>
      <c r="F12" s="24"/>
      <c r="G12" s="24"/>
      <c r="X12" s="10" t="s">
        <v>0</v>
      </c>
    </row>
    <row r="13" spans="1:24" ht="26.25" x14ac:dyDescent="0.4">
      <c r="A13" s="3"/>
      <c r="B13" s="3"/>
      <c r="C13" s="3"/>
      <c r="X13" s="12" t="s">
        <v>41</v>
      </c>
    </row>
    <row r="14" spans="1:24" ht="26.25" x14ac:dyDescent="0.4">
      <c r="B14" s="3"/>
      <c r="C14" s="3"/>
      <c r="X14" s="10" t="s">
        <v>43</v>
      </c>
    </row>
    <row r="15" spans="1:24" x14ac:dyDescent="0.25">
      <c r="X15" s="12" t="s">
        <v>45</v>
      </c>
    </row>
    <row r="16" spans="1:24" x14ac:dyDescent="0.25">
      <c r="X16" s="10" t="s">
        <v>46</v>
      </c>
    </row>
    <row r="17" spans="24:24" x14ac:dyDescent="0.25">
      <c r="X17" s="12" t="s">
        <v>49</v>
      </c>
    </row>
    <row r="18" spans="24:24" x14ac:dyDescent="0.25">
      <c r="X18" s="10" t="s">
        <v>51</v>
      </c>
    </row>
    <row r="19" spans="24:24" x14ac:dyDescent="0.25">
      <c r="X19" s="12" t="s">
        <v>53</v>
      </c>
    </row>
    <row r="20" spans="24:24" x14ac:dyDescent="0.25">
      <c r="X20" s="10" t="s">
        <v>55</v>
      </c>
    </row>
    <row r="21" spans="24:24" x14ac:dyDescent="0.25">
      <c r="X21" s="12" t="s">
        <v>57</v>
      </c>
    </row>
    <row r="22" spans="24:24" x14ac:dyDescent="0.25">
      <c r="X22" s="10" t="s">
        <v>59</v>
      </c>
    </row>
    <row r="23" spans="24:24" x14ac:dyDescent="0.25">
      <c r="X23" s="12" t="s">
        <v>61</v>
      </c>
    </row>
    <row r="24" spans="24:24" x14ac:dyDescent="0.25">
      <c r="X24" s="10" t="s">
        <v>63</v>
      </c>
    </row>
    <row r="25" spans="24:24" x14ac:dyDescent="0.25">
      <c r="X25" s="12" t="s">
        <v>65</v>
      </c>
    </row>
    <row r="26" spans="24:24" x14ac:dyDescent="0.25">
      <c r="X26" s="10" t="s">
        <v>66</v>
      </c>
    </row>
    <row r="27" spans="24:24" x14ac:dyDescent="0.25">
      <c r="X27" s="12" t="s">
        <v>69</v>
      </c>
    </row>
    <row r="28" spans="24:24" x14ac:dyDescent="0.25">
      <c r="X28" s="10" t="s">
        <v>71</v>
      </c>
    </row>
    <row r="29" spans="24:24" x14ac:dyDescent="0.25">
      <c r="X29" s="12" t="s">
        <v>73</v>
      </c>
    </row>
    <row r="30" spans="24:24" x14ac:dyDescent="0.25">
      <c r="X30" s="10" t="s">
        <v>75</v>
      </c>
    </row>
    <row r="31" spans="24:24" x14ac:dyDescent="0.25">
      <c r="X31" s="6" t="s">
        <v>76</v>
      </c>
    </row>
  </sheetData>
  <sheetProtection selectLockedCells="1"/>
  <conditionalFormatting sqref="C8">
    <cfRule type="cellIs" dxfId="36" priority="1" stopIfTrue="1" operator="equal">
      <formula>"Invalid PAN"</formula>
    </cfRule>
    <cfRule type="cellIs" dxfId="35" priority="2" stopIfTrue="1" operator="equal">
      <formula>"PAN NOT IN DATABASE. CONTACT HQ"</formula>
    </cfRule>
    <cfRule type="cellIs" dxfId="34" priority="15" stopIfTrue="1" operator="notEqual">
      <formula>"PAN NOT IN DATABASE. CONTACT HQ"</formula>
    </cfRule>
  </conditionalFormatting>
  <conditionalFormatting sqref="C10">
    <cfRule type="cellIs" dxfId="33" priority="4" stopIfTrue="1" operator="equal">
      <formula>"Not Linked"</formula>
    </cfRule>
    <cfRule type="cellIs" dxfId="32" priority="10" stopIfTrue="1" operator="equal">
      <formula>"-"</formula>
    </cfRule>
    <cfRule type="cellIs" dxfId="31" priority="14" stopIfTrue="1" operator="notEqual">
      <formula>"PAN NOT IN DATABASE. CONTACT HQ"</formula>
    </cfRule>
  </conditionalFormatting>
  <conditionalFormatting sqref="C11">
    <cfRule type="cellIs" dxfId="30" priority="3" stopIfTrue="1" operator="equal">
      <formula>"Yes"</formula>
    </cfRule>
    <cfRule type="cellIs" dxfId="29" priority="6" stopIfTrue="1" operator="equal">
      <formula>"-"</formula>
    </cfRule>
    <cfRule type="cellIs" dxfId="28" priority="9" stopIfTrue="1" operator="notEqual">
      <formula>"PAN NOT IN DATABASE. CONTACT HQ"</formula>
    </cfRule>
  </conditionalFormatting>
  <conditionalFormatting sqref="C9">
    <cfRule type="cellIs" dxfId="27" priority="5" stopIfTrue="1" operator="equal">
      <formula>"PAN NOT IN DATABASE. CONTACT HQ"</formula>
    </cfRule>
  </conditionalFormatting>
  <dataValidations count="1">
    <dataValidation type="list" errorStyle="information" allowBlank="1" showInputMessage="1" sqref="A1">
      <formula1>List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2" sqref="B2"/>
    </sheetView>
  </sheetViews>
  <sheetFormatPr defaultRowHeight="15" x14ac:dyDescent="0.25"/>
  <cols>
    <col min="2" max="2" width="101" bestFit="1" customWidth="1"/>
  </cols>
  <sheetData>
    <row r="2" spans="1:2" x14ac:dyDescent="0.25">
      <c r="A2" t="s">
        <v>87</v>
      </c>
      <c r="B2" t="s">
        <v>88</v>
      </c>
    </row>
    <row r="3" spans="1:2" x14ac:dyDescent="0.25">
      <c r="A3">
        <v>1</v>
      </c>
      <c r="B3" t="s">
        <v>89</v>
      </c>
    </row>
    <row r="4" spans="1:2" x14ac:dyDescent="0.25">
      <c r="A4">
        <v>2</v>
      </c>
      <c r="B4" t="s">
        <v>90</v>
      </c>
    </row>
    <row r="5" spans="1:2" x14ac:dyDescent="0.25">
      <c r="A5">
        <v>3</v>
      </c>
      <c r="B5" t="s">
        <v>91</v>
      </c>
    </row>
    <row r="6" spans="1:2" x14ac:dyDescent="0.25">
      <c r="A6">
        <v>4</v>
      </c>
      <c r="B6" t="s">
        <v>92</v>
      </c>
    </row>
    <row r="7" spans="1:2" x14ac:dyDescent="0.25">
      <c r="A7">
        <v>5</v>
      </c>
      <c r="B7" t="s">
        <v>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31"/>
  <sheetViews>
    <sheetView workbookViewId="0">
      <selection activeCell="E7" sqref="E7"/>
    </sheetView>
  </sheetViews>
  <sheetFormatPr defaultRowHeight="15" x14ac:dyDescent="0.25"/>
  <cols>
    <col min="1" max="1" width="5.85546875" customWidth="1"/>
    <col min="2" max="2" width="13.140625" bestFit="1" customWidth="1"/>
    <col min="3" max="3" width="30.140625" customWidth="1"/>
    <col min="4" max="4" width="21" customWidth="1"/>
    <col min="5" max="5" width="24.7109375" customWidth="1"/>
    <col min="6" max="6" width="36.140625" customWidth="1"/>
  </cols>
  <sheetData>
    <row r="5" spans="1:6" x14ac:dyDescent="0.25">
      <c r="A5" s="8" t="s">
        <v>22</v>
      </c>
      <c r="B5" s="8" t="s">
        <v>23</v>
      </c>
      <c r="C5" s="8" t="s">
        <v>9</v>
      </c>
      <c r="D5" s="8" t="s">
        <v>11</v>
      </c>
      <c r="E5" s="8" t="s">
        <v>13</v>
      </c>
      <c r="F5" s="9" t="s">
        <v>15</v>
      </c>
    </row>
    <row r="6" spans="1:6" x14ac:dyDescent="0.25">
      <c r="A6" s="10">
        <v>1</v>
      </c>
      <c r="B6" s="10" t="s">
        <v>24</v>
      </c>
      <c r="C6" s="10" t="s">
        <v>25</v>
      </c>
      <c r="D6" s="14">
        <v>17394</v>
      </c>
      <c r="E6" s="10" t="s">
        <v>26</v>
      </c>
      <c r="F6" s="11" t="s">
        <v>27</v>
      </c>
    </row>
    <row r="7" spans="1:6" x14ac:dyDescent="0.25">
      <c r="A7" s="12">
        <v>2</v>
      </c>
      <c r="B7" s="12" t="s">
        <v>28</v>
      </c>
      <c r="C7" s="12" t="s">
        <v>7</v>
      </c>
      <c r="D7" s="15" t="s">
        <v>29</v>
      </c>
      <c r="E7" s="12" t="s">
        <v>29</v>
      </c>
      <c r="F7" s="13" t="s">
        <v>29</v>
      </c>
    </row>
    <row r="8" spans="1:6" x14ac:dyDescent="0.25">
      <c r="A8" s="10">
        <v>3</v>
      </c>
      <c r="B8" s="10" t="s">
        <v>30</v>
      </c>
      <c r="C8" s="10" t="s">
        <v>31</v>
      </c>
      <c r="D8" s="14">
        <v>17396</v>
      </c>
      <c r="E8" s="10" t="s">
        <v>32</v>
      </c>
      <c r="F8" s="11" t="s">
        <v>27</v>
      </c>
    </row>
    <row r="9" spans="1:6" x14ac:dyDescent="0.25">
      <c r="A9" s="12">
        <v>4</v>
      </c>
      <c r="B9" s="12" t="s">
        <v>33</v>
      </c>
      <c r="C9" s="12" t="s">
        <v>34</v>
      </c>
      <c r="D9" s="15">
        <v>17397</v>
      </c>
      <c r="E9" s="12" t="s">
        <v>32</v>
      </c>
      <c r="F9" s="13" t="s">
        <v>27</v>
      </c>
    </row>
    <row r="10" spans="1:6" x14ac:dyDescent="0.25">
      <c r="A10" s="10">
        <v>5</v>
      </c>
      <c r="B10" s="10" t="s">
        <v>35</v>
      </c>
      <c r="C10" s="10" t="s">
        <v>36</v>
      </c>
      <c r="D10" s="14">
        <v>17398</v>
      </c>
      <c r="E10" s="10" t="s">
        <v>32</v>
      </c>
      <c r="F10" s="11" t="s">
        <v>27</v>
      </c>
    </row>
    <row r="11" spans="1:6" x14ac:dyDescent="0.25">
      <c r="A11" s="12">
        <v>6</v>
      </c>
      <c r="B11" s="12" t="s">
        <v>37</v>
      </c>
      <c r="C11" s="12" t="s">
        <v>38</v>
      </c>
      <c r="D11" s="15">
        <v>17399</v>
      </c>
      <c r="E11" s="12" t="s">
        <v>32</v>
      </c>
      <c r="F11" s="13" t="s">
        <v>27</v>
      </c>
    </row>
    <row r="12" spans="1:6" x14ac:dyDescent="0.25">
      <c r="A12" s="10">
        <v>7</v>
      </c>
      <c r="B12" s="10" t="s">
        <v>0</v>
      </c>
      <c r="C12" s="10" t="s">
        <v>39</v>
      </c>
      <c r="D12" s="14">
        <v>17400</v>
      </c>
      <c r="E12" s="10" t="s">
        <v>32</v>
      </c>
      <c r="F12" s="11" t="s">
        <v>40</v>
      </c>
    </row>
    <row r="13" spans="1:6" x14ac:dyDescent="0.25">
      <c r="A13" s="12">
        <v>8</v>
      </c>
      <c r="B13" s="12" t="s">
        <v>41</v>
      </c>
      <c r="C13" s="12" t="s">
        <v>42</v>
      </c>
      <c r="D13" s="15">
        <v>17401</v>
      </c>
      <c r="E13" s="12" t="s">
        <v>32</v>
      </c>
      <c r="F13" s="13" t="s">
        <v>40</v>
      </c>
    </row>
    <row r="14" spans="1:6" x14ac:dyDescent="0.25">
      <c r="A14" s="10">
        <v>9</v>
      </c>
      <c r="B14" s="10" t="s">
        <v>43</v>
      </c>
      <c r="C14" s="10" t="s">
        <v>44</v>
      </c>
      <c r="D14" s="14">
        <v>17402</v>
      </c>
      <c r="E14" s="10" t="s">
        <v>32</v>
      </c>
      <c r="F14" s="11" t="s">
        <v>40</v>
      </c>
    </row>
    <row r="15" spans="1:6" x14ac:dyDescent="0.25">
      <c r="A15" s="12">
        <v>10</v>
      </c>
      <c r="B15" s="12" t="s">
        <v>45</v>
      </c>
      <c r="C15" s="12" t="s">
        <v>7</v>
      </c>
      <c r="D15" s="15" t="s">
        <v>29</v>
      </c>
      <c r="E15" s="12" t="s">
        <v>29</v>
      </c>
      <c r="F15" s="13" t="s">
        <v>29</v>
      </c>
    </row>
    <row r="16" spans="1:6" x14ac:dyDescent="0.25">
      <c r="A16" s="10">
        <v>11</v>
      </c>
      <c r="B16" s="10" t="s">
        <v>46</v>
      </c>
      <c r="C16" s="10" t="s">
        <v>47</v>
      </c>
      <c r="D16" s="14">
        <v>17404</v>
      </c>
      <c r="E16" s="10" t="s">
        <v>48</v>
      </c>
      <c r="F16" s="11" t="s">
        <v>27</v>
      </c>
    </row>
    <row r="17" spans="1:6" x14ac:dyDescent="0.25">
      <c r="A17" s="12">
        <v>12</v>
      </c>
      <c r="B17" s="12" t="s">
        <v>49</v>
      </c>
      <c r="C17" s="12" t="s">
        <v>50</v>
      </c>
      <c r="D17" s="15">
        <v>17405</v>
      </c>
      <c r="E17" s="12" t="s">
        <v>48</v>
      </c>
      <c r="F17" s="13" t="s">
        <v>27</v>
      </c>
    </row>
    <row r="18" spans="1:6" x14ac:dyDescent="0.25">
      <c r="A18" s="10">
        <v>13</v>
      </c>
      <c r="B18" s="10" t="s">
        <v>51</v>
      </c>
      <c r="C18" s="10" t="s">
        <v>52</v>
      </c>
      <c r="D18" s="14">
        <v>17406</v>
      </c>
      <c r="E18" s="10" t="s">
        <v>48</v>
      </c>
      <c r="F18" s="11" t="s">
        <v>40</v>
      </c>
    </row>
    <row r="19" spans="1:6" x14ac:dyDescent="0.25">
      <c r="A19" s="12">
        <v>14</v>
      </c>
      <c r="B19" s="12" t="s">
        <v>53</v>
      </c>
      <c r="C19" s="12" t="s">
        <v>54</v>
      </c>
      <c r="D19" s="15">
        <v>17407</v>
      </c>
      <c r="E19" s="12" t="s">
        <v>48</v>
      </c>
      <c r="F19" s="13" t="s">
        <v>27</v>
      </c>
    </row>
    <row r="20" spans="1:6" x14ac:dyDescent="0.25">
      <c r="A20" s="10">
        <v>15</v>
      </c>
      <c r="B20" s="10" t="s">
        <v>55</v>
      </c>
      <c r="C20" s="10" t="s">
        <v>56</v>
      </c>
      <c r="D20" s="14">
        <v>17408</v>
      </c>
      <c r="E20" s="10" t="s">
        <v>48</v>
      </c>
      <c r="F20" s="11" t="s">
        <v>40</v>
      </c>
    </row>
    <row r="21" spans="1:6" x14ac:dyDescent="0.25">
      <c r="A21" s="12">
        <v>16</v>
      </c>
      <c r="B21" s="12" t="s">
        <v>57</v>
      </c>
      <c r="C21" s="12" t="s">
        <v>58</v>
      </c>
      <c r="D21" s="15">
        <v>17409</v>
      </c>
      <c r="E21" s="12" t="s">
        <v>48</v>
      </c>
      <c r="F21" s="13" t="s">
        <v>40</v>
      </c>
    </row>
    <row r="22" spans="1:6" x14ac:dyDescent="0.25">
      <c r="A22" s="10">
        <v>17</v>
      </c>
      <c r="B22" s="10" t="s">
        <v>59</v>
      </c>
      <c r="C22" s="10" t="s">
        <v>60</v>
      </c>
      <c r="D22" s="14">
        <v>17410</v>
      </c>
      <c r="E22" s="10" t="s">
        <v>48</v>
      </c>
      <c r="F22" s="11" t="s">
        <v>27</v>
      </c>
    </row>
    <row r="23" spans="1:6" x14ac:dyDescent="0.25">
      <c r="A23" s="12">
        <v>18</v>
      </c>
      <c r="B23" s="12" t="s">
        <v>61</v>
      </c>
      <c r="C23" s="12" t="s">
        <v>62</v>
      </c>
      <c r="D23" s="15">
        <v>17411</v>
      </c>
      <c r="E23" s="12" t="s">
        <v>48</v>
      </c>
      <c r="F23" s="13" t="s">
        <v>40</v>
      </c>
    </row>
    <row r="24" spans="1:6" x14ac:dyDescent="0.25">
      <c r="A24" s="10">
        <v>19</v>
      </c>
      <c r="B24" s="10" t="s">
        <v>63</v>
      </c>
      <c r="C24" s="10" t="s">
        <v>64</v>
      </c>
      <c r="D24" s="14">
        <v>17412</v>
      </c>
      <c r="E24" s="10" t="s">
        <v>48</v>
      </c>
      <c r="F24" s="11" t="s">
        <v>27</v>
      </c>
    </row>
    <row r="25" spans="1:6" x14ac:dyDescent="0.25">
      <c r="A25" s="12">
        <v>20</v>
      </c>
      <c r="B25" s="12" t="s">
        <v>65</v>
      </c>
      <c r="C25" s="12" t="s">
        <v>7</v>
      </c>
      <c r="D25" s="15" t="s">
        <v>29</v>
      </c>
      <c r="E25" s="12" t="s">
        <v>29</v>
      </c>
      <c r="F25" s="13" t="s">
        <v>29</v>
      </c>
    </row>
    <row r="26" spans="1:6" x14ac:dyDescent="0.25">
      <c r="A26" s="10">
        <v>21</v>
      </c>
      <c r="B26" s="10" t="s">
        <v>66</v>
      </c>
      <c r="C26" s="10" t="s">
        <v>67</v>
      </c>
      <c r="D26" s="14">
        <v>17414</v>
      </c>
      <c r="E26" s="10" t="s">
        <v>68</v>
      </c>
      <c r="F26" s="11" t="s">
        <v>27</v>
      </c>
    </row>
    <row r="27" spans="1:6" x14ac:dyDescent="0.25">
      <c r="A27" s="12">
        <v>22</v>
      </c>
      <c r="B27" s="12" t="s">
        <v>69</v>
      </c>
      <c r="C27" s="12" t="s">
        <v>70</v>
      </c>
      <c r="D27" s="15">
        <v>17415</v>
      </c>
      <c r="E27" s="12" t="s">
        <v>26</v>
      </c>
      <c r="F27" s="13" t="s">
        <v>27</v>
      </c>
    </row>
    <row r="28" spans="1:6" x14ac:dyDescent="0.25">
      <c r="A28" s="10">
        <v>23</v>
      </c>
      <c r="B28" s="10" t="s">
        <v>71</v>
      </c>
      <c r="C28" s="10" t="s">
        <v>72</v>
      </c>
      <c r="D28" s="14">
        <v>17416</v>
      </c>
      <c r="E28" s="10" t="s">
        <v>26</v>
      </c>
      <c r="F28" s="11" t="s">
        <v>40</v>
      </c>
    </row>
    <row r="29" spans="1:6" x14ac:dyDescent="0.25">
      <c r="A29" s="12">
        <v>24</v>
      </c>
      <c r="B29" s="12" t="s">
        <v>73</v>
      </c>
      <c r="C29" s="12" t="s">
        <v>74</v>
      </c>
      <c r="D29" s="15">
        <v>17417</v>
      </c>
      <c r="E29" s="12" t="s">
        <v>26</v>
      </c>
      <c r="F29" s="13" t="s">
        <v>40</v>
      </c>
    </row>
    <row r="30" spans="1:6" x14ac:dyDescent="0.25">
      <c r="A30" s="10">
        <v>25</v>
      </c>
      <c r="B30" s="10" t="s">
        <v>75</v>
      </c>
      <c r="C30" s="10" t="s">
        <v>7</v>
      </c>
      <c r="D30" s="14" t="s">
        <v>29</v>
      </c>
      <c r="E30" s="10" t="s">
        <v>29</v>
      </c>
      <c r="F30" s="11" t="s">
        <v>29</v>
      </c>
    </row>
    <row r="31" spans="1:6" x14ac:dyDescent="0.25">
      <c r="A31" s="6">
        <v>26</v>
      </c>
      <c r="B31" s="6" t="s">
        <v>76</v>
      </c>
      <c r="C31" s="6" t="s">
        <v>77</v>
      </c>
      <c r="D31" s="16">
        <v>53943</v>
      </c>
      <c r="E31" s="6" t="s">
        <v>26</v>
      </c>
      <c r="F31" s="7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11.28515625" customWidth="1"/>
  </cols>
  <sheetData>
    <row r="1" spans="1:2" x14ac:dyDescent="0.25">
      <c r="A1" t="s">
        <v>94</v>
      </c>
      <c r="B1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105</v>
      </c>
    </row>
    <row r="7" spans="1:2" x14ac:dyDescent="0.25">
      <c r="A7" t="s">
        <v>106</v>
      </c>
      <c r="B7" t="s">
        <v>107</v>
      </c>
    </row>
    <row r="8" spans="1:2" x14ac:dyDescent="0.25">
      <c r="A8" t="s">
        <v>108</v>
      </c>
      <c r="B8" t="s">
        <v>109</v>
      </c>
    </row>
    <row r="9" spans="1:2" x14ac:dyDescent="0.25">
      <c r="A9" t="s">
        <v>110</v>
      </c>
      <c r="B9" t="s">
        <v>111</v>
      </c>
    </row>
    <row r="10" spans="1:2" x14ac:dyDescent="0.25">
      <c r="A10" t="s">
        <v>112</v>
      </c>
      <c r="B10" t="s">
        <v>113</v>
      </c>
    </row>
    <row r="11" spans="1:2" x14ac:dyDescent="0.25">
      <c r="A11" t="s">
        <v>114</v>
      </c>
      <c r="B11" t="s">
        <v>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activeCell="A16" sqref="A16"/>
    </sheetView>
  </sheetViews>
  <sheetFormatPr defaultRowHeight="15" x14ac:dyDescent="0.25"/>
  <cols>
    <col min="1" max="1" width="49" bestFit="1" customWidth="1"/>
    <col min="2" max="2" width="9.85546875" bestFit="1" customWidth="1"/>
    <col min="3" max="3" width="10.7109375" customWidth="1"/>
    <col min="4" max="4" width="15.140625" bestFit="1" customWidth="1"/>
    <col min="5" max="5" width="16.7109375" bestFit="1" customWidth="1"/>
    <col min="6" max="6" width="34.5703125" bestFit="1" customWidth="1"/>
  </cols>
  <sheetData>
    <row r="3" spans="1:6" x14ac:dyDescent="0.25">
      <c r="A3" s="18" t="s">
        <v>5</v>
      </c>
      <c r="B3" s="18" t="s">
        <v>78</v>
      </c>
      <c r="C3" s="18" t="s">
        <v>6</v>
      </c>
      <c r="D3" s="19" t="s">
        <v>119</v>
      </c>
      <c r="E3" s="19" t="s">
        <v>120</v>
      </c>
      <c r="F3" s="19" t="s">
        <v>123</v>
      </c>
    </row>
    <row r="4" spans="1:6" x14ac:dyDescent="0.25">
      <c r="A4" s="10" t="s">
        <v>8</v>
      </c>
      <c r="B4" s="10" t="s">
        <v>79</v>
      </c>
      <c r="C4" s="10">
        <v>1</v>
      </c>
      <c r="D4" s="20">
        <f>MAX(IndRates[[#This Row],[Normal]]*2,5)</f>
        <v>5</v>
      </c>
      <c r="E4" s="20">
        <v>20</v>
      </c>
      <c r="F4" s="20">
        <f>MAX(IndRates[[#This Row],[Normal]:[Aadhar Notlink]])</f>
        <v>20</v>
      </c>
    </row>
    <row r="5" spans="1:6" x14ac:dyDescent="0.25">
      <c r="A5" s="12" t="s">
        <v>10</v>
      </c>
      <c r="B5" s="12" t="s">
        <v>79</v>
      </c>
      <c r="C5" s="12">
        <v>0</v>
      </c>
      <c r="D5" s="20">
        <f>MAX(IndRates[[#This Row],[Normal]]*2,5)</f>
        <v>5</v>
      </c>
      <c r="E5" s="20">
        <v>20</v>
      </c>
      <c r="F5" s="20">
        <f>MAX(IndRates[[#This Row],[Normal]:[Aadhar Notlink]])</f>
        <v>20</v>
      </c>
    </row>
    <row r="6" spans="1:6" x14ac:dyDescent="0.25">
      <c r="A6" s="10" t="s">
        <v>12</v>
      </c>
      <c r="B6" s="10" t="s">
        <v>79</v>
      </c>
      <c r="C6" s="10">
        <v>1</v>
      </c>
      <c r="D6" s="20">
        <f>MAX(IndRates[[#This Row],[Normal]]*2,5)</f>
        <v>5</v>
      </c>
      <c r="E6" s="20">
        <v>20</v>
      </c>
      <c r="F6" s="20">
        <f>MAX(IndRates[[#This Row],[Normal]:[Aadhar Notlink]])</f>
        <v>20</v>
      </c>
    </row>
    <row r="7" spans="1:6" x14ac:dyDescent="0.25">
      <c r="A7" s="12" t="s">
        <v>14</v>
      </c>
      <c r="B7" s="12" t="s">
        <v>80</v>
      </c>
      <c r="C7" s="12">
        <v>10</v>
      </c>
      <c r="D7" s="20">
        <f>MAX(IndRates[[#This Row],[Normal]]*2,5)</f>
        <v>20</v>
      </c>
      <c r="E7" s="20">
        <v>20</v>
      </c>
      <c r="F7" s="20">
        <f>MAX(IndRates[[#This Row],[Normal]:[Aadhar Notlink]])</f>
        <v>20</v>
      </c>
    </row>
    <row r="8" spans="1:6" x14ac:dyDescent="0.25">
      <c r="A8" s="10" t="s">
        <v>16</v>
      </c>
      <c r="B8" s="10" t="s">
        <v>80</v>
      </c>
      <c r="C8" s="10">
        <v>2</v>
      </c>
      <c r="D8" s="20">
        <f>MAX(IndRates[[#This Row],[Normal]]*2,5)</f>
        <v>5</v>
      </c>
      <c r="E8" s="20">
        <v>20</v>
      </c>
      <c r="F8" s="20">
        <f>MAX(IndRates[[#This Row],[Normal]:[Aadhar Notlink]])</f>
        <v>20</v>
      </c>
    </row>
    <row r="9" spans="1:6" x14ac:dyDescent="0.25">
      <c r="A9" s="12" t="s">
        <v>17</v>
      </c>
      <c r="B9" s="12" t="s">
        <v>81</v>
      </c>
      <c r="C9" s="12">
        <v>1</v>
      </c>
      <c r="D9" s="20">
        <f>MAX(IndRates[[#This Row],[Normal]]*2,5)</f>
        <v>5</v>
      </c>
      <c r="E9" s="20">
        <v>20</v>
      </c>
      <c r="F9" s="20">
        <f>MAX(IndRates[[#This Row],[Normal]:[Aadhar Notlink]])</f>
        <v>20</v>
      </c>
    </row>
    <row r="10" spans="1:6" x14ac:dyDescent="0.25">
      <c r="A10" s="10" t="s">
        <v>18</v>
      </c>
      <c r="B10" s="10" t="s">
        <v>82</v>
      </c>
      <c r="C10" s="10">
        <v>10</v>
      </c>
      <c r="D10" s="20">
        <f>MAX(IndRates[[#This Row],[Normal]]*2,5)</f>
        <v>20</v>
      </c>
      <c r="E10" s="20">
        <v>20</v>
      </c>
      <c r="F10" s="20">
        <f>MAX(IndRates[[#This Row],[Normal]:[Aadhar Notlink]])</f>
        <v>20</v>
      </c>
    </row>
    <row r="11" spans="1:6" x14ac:dyDescent="0.25">
      <c r="A11" s="12" t="s">
        <v>19</v>
      </c>
      <c r="B11" s="12" t="s">
        <v>82</v>
      </c>
      <c r="C11" s="12">
        <v>2</v>
      </c>
      <c r="D11" s="20">
        <f>MAX(IndRates[[#This Row],[Normal]]*2,5)</f>
        <v>5</v>
      </c>
      <c r="E11" s="20">
        <v>20</v>
      </c>
      <c r="F11" s="20">
        <f>MAX(IndRates[[#This Row],[Normal]:[Aadhar Notlink]])</f>
        <v>20</v>
      </c>
    </row>
    <row r="12" spans="1:6" x14ac:dyDescent="0.25">
      <c r="A12" s="10" t="s">
        <v>20</v>
      </c>
      <c r="B12" s="10" t="s">
        <v>83</v>
      </c>
      <c r="C12" s="10">
        <v>10</v>
      </c>
      <c r="D12" s="20">
        <f>MAX(IndRates[[#This Row],[Normal]]*2,5)</f>
        <v>20</v>
      </c>
      <c r="E12" s="20">
        <v>20</v>
      </c>
      <c r="F12" s="20">
        <f>MAX(IndRates[[#This Row],[Normal]:[Aadhar Notlink]])</f>
        <v>20</v>
      </c>
    </row>
    <row r="13" spans="1:6" x14ac:dyDescent="0.25">
      <c r="A13" s="12" t="s">
        <v>21</v>
      </c>
      <c r="B13" s="12" t="s">
        <v>84</v>
      </c>
      <c r="C13" s="12">
        <v>5</v>
      </c>
      <c r="D13" s="20">
        <f>MAX(IndRates[[#This Row],[Normal]]*2,5)</f>
        <v>10</v>
      </c>
      <c r="E13" s="20">
        <v>20</v>
      </c>
      <c r="F13" s="20">
        <f>MAX(IndRates[[#This Row],[Normal]:[Aadhar Notlink]])</f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workbookViewId="0">
      <selection activeCell="F23" sqref="F23"/>
    </sheetView>
  </sheetViews>
  <sheetFormatPr defaultRowHeight="15" x14ac:dyDescent="0.25"/>
  <cols>
    <col min="1" max="1" width="31.7109375" bestFit="1" customWidth="1"/>
    <col min="2" max="2" width="9.85546875" bestFit="1" customWidth="1"/>
    <col min="3" max="3" width="10.7109375" customWidth="1"/>
    <col min="4" max="4" width="15.140625" bestFit="1" customWidth="1"/>
    <col min="5" max="5" width="16.7109375" bestFit="1" customWidth="1"/>
    <col min="6" max="6" width="34.5703125" bestFit="1" customWidth="1"/>
  </cols>
  <sheetData>
    <row r="3" spans="1:6" x14ac:dyDescent="0.25">
      <c r="A3" s="18" t="s">
        <v>5</v>
      </c>
      <c r="B3" s="18" t="s">
        <v>78</v>
      </c>
      <c r="C3" s="18" t="s">
        <v>6</v>
      </c>
      <c r="D3" s="19" t="s">
        <v>119</v>
      </c>
      <c r="E3" s="19" t="s">
        <v>120</v>
      </c>
      <c r="F3" s="19" t="s">
        <v>123</v>
      </c>
    </row>
    <row r="4" spans="1:6" x14ac:dyDescent="0.25">
      <c r="A4" s="10" t="s">
        <v>8</v>
      </c>
      <c r="B4" s="10" t="s">
        <v>79</v>
      </c>
      <c r="C4" s="10">
        <v>2</v>
      </c>
      <c r="D4" s="20">
        <f>MAX(OthRates[[#This Row],[Normal]]*2,5)</f>
        <v>5</v>
      </c>
      <c r="E4" s="20">
        <v>20</v>
      </c>
      <c r="F4" s="20">
        <f>MAX(OthRates[[#This Row],[Normal]:[Aadhar Notlink]])</f>
        <v>20</v>
      </c>
    </row>
    <row r="5" spans="1:6" x14ac:dyDescent="0.25">
      <c r="A5" s="12" t="s">
        <v>10</v>
      </c>
      <c r="B5" s="12" t="s">
        <v>79</v>
      </c>
      <c r="C5" s="12">
        <v>0</v>
      </c>
      <c r="D5" s="20">
        <f>MAX(OthRates[[#This Row],[Normal]]*2,5)</f>
        <v>5</v>
      </c>
      <c r="E5" s="20">
        <v>20</v>
      </c>
      <c r="F5" s="20">
        <f>MAX(OthRates[[#This Row],[Normal]:[Aadhar Notlink]])</f>
        <v>20</v>
      </c>
    </row>
    <row r="6" spans="1:6" x14ac:dyDescent="0.25">
      <c r="A6" s="10" t="s">
        <v>12</v>
      </c>
      <c r="B6" s="10" t="s">
        <v>79</v>
      </c>
      <c r="C6" s="10">
        <v>2</v>
      </c>
      <c r="D6" s="20">
        <f>MAX(OthRates[[#This Row],[Normal]]*2,5)</f>
        <v>5</v>
      </c>
      <c r="E6" s="20">
        <v>20</v>
      </c>
      <c r="F6" s="20">
        <f>MAX(OthRates[[#This Row],[Normal]:[Aadhar Notlink]])</f>
        <v>20</v>
      </c>
    </row>
    <row r="7" spans="1:6" x14ac:dyDescent="0.25">
      <c r="A7" s="12" t="s">
        <v>14</v>
      </c>
      <c r="B7" s="12" t="s">
        <v>80</v>
      </c>
      <c r="C7" s="12">
        <v>10</v>
      </c>
      <c r="D7" s="20">
        <f>MAX(OthRates[[#This Row],[Normal]]*2,5)</f>
        <v>20</v>
      </c>
      <c r="E7" s="20">
        <v>20</v>
      </c>
      <c r="F7" s="20">
        <f>MAX(OthRates[[#This Row],[Normal]:[Aadhar Notlink]])</f>
        <v>20</v>
      </c>
    </row>
    <row r="8" spans="1:6" x14ac:dyDescent="0.25">
      <c r="A8" s="10" t="s">
        <v>16</v>
      </c>
      <c r="B8" s="10" t="s">
        <v>80</v>
      </c>
      <c r="C8" s="10">
        <v>2</v>
      </c>
      <c r="D8" s="20">
        <f>MAX(OthRates[[#This Row],[Normal]]*2,5)</f>
        <v>5</v>
      </c>
      <c r="E8" s="20">
        <v>20</v>
      </c>
      <c r="F8" s="20">
        <f>MAX(OthRates[[#This Row],[Normal]:[Aadhar Notlink]])</f>
        <v>20</v>
      </c>
    </row>
    <row r="9" spans="1:6" x14ac:dyDescent="0.25">
      <c r="A9" s="12" t="s">
        <v>17</v>
      </c>
      <c r="B9" s="12" t="s">
        <v>81</v>
      </c>
      <c r="C9" s="12">
        <v>1</v>
      </c>
      <c r="D9" s="20">
        <f>MAX(OthRates[[#This Row],[Normal]]*2,5)</f>
        <v>5</v>
      </c>
      <c r="E9" s="20">
        <v>20</v>
      </c>
      <c r="F9" s="20">
        <f>MAX(OthRates[[#This Row],[Normal]:[Aadhar Notlink]])</f>
        <v>20</v>
      </c>
    </row>
    <row r="10" spans="1:6" x14ac:dyDescent="0.25">
      <c r="A10" s="10" t="s">
        <v>18</v>
      </c>
      <c r="B10" s="10" t="s">
        <v>82</v>
      </c>
      <c r="C10" s="10">
        <v>10</v>
      </c>
      <c r="D10" s="20">
        <f>MAX(OthRates[[#This Row],[Normal]]*2,5)</f>
        <v>20</v>
      </c>
      <c r="E10" s="20">
        <v>20</v>
      </c>
      <c r="F10" s="20">
        <f>MAX(OthRates[[#This Row],[Normal]:[Aadhar Notlink]])</f>
        <v>20</v>
      </c>
    </row>
    <row r="11" spans="1:6" x14ac:dyDescent="0.25">
      <c r="A11" s="12" t="s">
        <v>19</v>
      </c>
      <c r="B11" s="12" t="s">
        <v>82</v>
      </c>
      <c r="C11" s="12">
        <v>2</v>
      </c>
      <c r="D11" s="20">
        <f>MAX(OthRates[[#This Row],[Normal]]*2,5)</f>
        <v>5</v>
      </c>
      <c r="E11" s="20">
        <v>20</v>
      </c>
      <c r="F11" s="20">
        <f>MAX(OthRates[[#This Row],[Normal]:[Aadhar Notlink]])</f>
        <v>20</v>
      </c>
    </row>
    <row r="12" spans="1:6" x14ac:dyDescent="0.25">
      <c r="A12" s="10" t="s">
        <v>20</v>
      </c>
      <c r="B12" s="10" t="s">
        <v>83</v>
      </c>
      <c r="C12" s="10">
        <v>10</v>
      </c>
      <c r="D12" s="20">
        <f>MAX(OthRates[[#This Row],[Normal]]*2,5)</f>
        <v>20</v>
      </c>
      <c r="E12" s="20">
        <v>20</v>
      </c>
      <c r="F12" s="20">
        <f>MAX(OthRates[[#This Row],[Normal]:[Aadhar Notlink]])</f>
        <v>20</v>
      </c>
    </row>
    <row r="13" spans="1:6" x14ac:dyDescent="0.25">
      <c r="A13" s="12" t="s">
        <v>21</v>
      </c>
      <c r="B13" s="12" t="s">
        <v>84</v>
      </c>
      <c r="C13" s="12">
        <v>5</v>
      </c>
      <c r="D13" s="20">
        <f>MAX(OthRates[[#This Row],[Normal]]*2,5)</f>
        <v>10</v>
      </c>
      <c r="E13" s="20">
        <v>20</v>
      </c>
      <c r="F13" s="20">
        <f>MAX(OthRates[[#This Row],[Normal]:[Aadhar Notlink]])</f>
        <v>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C8" sqref="C8"/>
    </sheetView>
  </sheetViews>
  <sheetFormatPr defaultRowHeight="15" x14ac:dyDescent="0.25"/>
  <cols>
    <col min="1" max="1" width="16" bestFit="1" customWidth="1"/>
    <col min="2" max="2" width="15.5703125" customWidth="1"/>
  </cols>
  <sheetData>
    <row r="2" spans="1:2" x14ac:dyDescent="0.25">
      <c r="A2" t="s">
        <v>124</v>
      </c>
      <c r="B2" t="s">
        <v>126</v>
      </c>
    </row>
    <row r="3" spans="1:2" x14ac:dyDescent="0.25">
      <c r="A3" t="s">
        <v>125</v>
      </c>
      <c r="B3" s="29">
        <v>44470</v>
      </c>
    </row>
    <row r="4" spans="1:2" x14ac:dyDescent="0.25">
      <c r="A4" t="s">
        <v>85</v>
      </c>
      <c r="B4" s="29">
        <v>44378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26FFB129E7804C8987D1B9944ADBBA" ma:contentTypeVersion="8" ma:contentTypeDescription="Create a new document." ma:contentTypeScope="" ma:versionID="5436869f57239f61d69a1bb69c7336ca">
  <xsd:schema xmlns:xsd="http://www.w3.org/2001/XMLSchema" xmlns:xs="http://www.w3.org/2001/XMLSchema" xmlns:p="http://schemas.microsoft.com/office/2006/metadata/properties" xmlns:ns2="cbb924d7-d348-44a7-9e12-b63d16e59a8c" targetNamespace="http://schemas.microsoft.com/office/2006/metadata/properties" ma:root="true" ma:fieldsID="d956ab2041eabd798c75664e54a9912e" ns2:_="">
    <xsd:import namespace="cbb924d7-d348-44a7-9e12-b63d16e5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924d7-d348-44a7-9e12-b63d16e59a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A2C54-729C-4276-8BBA-D64BB73659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8829E5-D04A-4714-AD45-0BFB60DCA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b924d7-d348-44a7-9e12-b63d16e59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Tedious</vt:lpstr>
      <vt:lpstr>TermsNConditions</vt:lpstr>
      <vt:lpstr>DataBase</vt:lpstr>
      <vt:lpstr>PersonStatus</vt:lpstr>
      <vt:lpstr>IndRateChart</vt:lpstr>
      <vt:lpstr>OthRateChart</vt:lpstr>
      <vt:lpstr>LastDate</vt:lpstr>
      <vt:lpstr>List</vt:lpstr>
      <vt:lpstr>PAN</vt:lpstr>
      <vt:lpstr>PANREF</vt:lpstr>
      <vt:lpstr>OthRateChart!TDSRate</vt:lpstr>
      <vt:lpstr>TDSRate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Kishore B.K.</dc:creator>
  <cp:keywords/>
  <dc:description/>
  <cp:lastModifiedBy>saurabh BK</cp:lastModifiedBy>
  <cp:revision/>
  <dcterms:created xsi:type="dcterms:W3CDTF">2021-06-23T06:39:27Z</dcterms:created>
  <dcterms:modified xsi:type="dcterms:W3CDTF">2021-06-27T05:44:57Z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0x010100C826FFB129E7804C8987D1B9944ADBBA</vt:lpwstr>
  </property>
</Properties>
</file>